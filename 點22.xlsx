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16\Downloads\"/>
    </mc:Choice>
  </mc:AlternateContent>
  <xr:revisionPtr revIDLastSave="0" documentId="13_ncr:1_{AFDD9F0E-1B88-4269-9883-76FF3BC67432}" xr6:coauthVersionLast="47" xr6:coauthVersionMax="47" xr10:uidLastSave="{00000000-0000-0000-0000-000000000000}"/>
  <bookViews>
    <workbookView xWindow="-120" yWindow="-120" windowWidth="51840" windowHeight="21120" xr2:uid="{00B1D8CE-69E8-4725-AF41-597A258313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8" i="1"/>
  <c r="J17" i="1"/>
</calcChain>
</file>

<file path=xl/sharedStrings.xml><?xml version="1.0" encoding="utf-8"?>
<sst xmlns="http://schemas.openxmlformats.org/spreadsheetml/2006/main" count="73" uniqueCount="55">
  <si>
    <t>商品名稱</t>
    <phoneticPr fontId="1" type="noConversion"/>
  </si>
  <si>
    <t>數量</t>
    <phoneticPr fontId="1" type="noConversion"/>
  </si>
  <si>
    <t>金額</t>
    <phoneticPr fontId="1" type="noConversion"/>
  </si>
  <si>
    <t>單位</t>
    <phoneticPr fontId="1" type="noConversion"/>
  </si>
  <si>
    <t>銷售單號：</t>
    <phoneticPr fontId="1" type="noConversion"/>
  </si>
  <si>
    <t>交易備註：</t>
    <phoneticPr fontId="1" type="noConversion"/>
  </si>
  <si>
    <t>項次</t>
    <phoneticPr fontId="1" type="noConversion"/>
  </si>
  <si>
    <t>備註</t>
    <phoneticPr fontId="1" type="noConversion"/>
  </si>
  <si>
    <t>單價</t>
    <phoneticPr fontId="1" type="noConversion"/>
  </si>
  <si>
    <t>客戶名稱：</t>
    <phoneticPr fontId="1" type="noConversion"/>
  </si>
  <si>
    <t>客戶地址：</t>
    <phoneticPr fontId="1" type="noConversion"/>
  </si>
  <si>
    <t>統一編號：</t>
    <phoneticPr fontId="1" type="noConversion"/>
  </si>
  <si>
    <t>商品總數：</t>
    <phoneticPr fontId="1" type="noConversion"/>
  </si>
  <si>
    <t>運費：</t>
    <phoneticPr fontId="1" type="noConversion"/>
  </si>
  <si>
    <t>稅額：</t>
    <phoneticPr fontId="1" type="noConversion"/>
  </si>
  <si>
    <t>小計金額：</t>
    <phoneticPr fontId="1" type="noConversion"/>
  </si>
  <si>
    <t>銷售總計：</t>
    <phoneticPr fontId="1" type="noConversion"/>
  </si>
  <si>
    <t/>
  </si>
  <si>
    <t>商品代碼</t>
    <phoneticPr fontId="1" type="noConversion"/>
  </si>
  <si>
    <t>TEL：03-4533457
桃園市中壢區新生路三段239號</t>
    <phoneticPr fontId="1" type="noConversion"/>
  </si>
  <si>
    <t>日期：</t>
    <phoneticPr fontId="1" type="noConversion"/>
  </si>
  <si>
    <r>
      <rPr>
        <b/>
        <sz val="16"/>
        <color theme="1"/>
        <rFont val="微軟正黑體"/>
        <family val="2"/>
        <charset val="136"/>
      </rPr>
      <t xml:space="preserve">                                                【丸十水產股份有限公司】</t>
    </r>
    <r>
      <rPr>
        <b/>
        <sz val="14"/>
        <color theme="1"/>
        <rFont val="微軟正黑體"/>
        <family val="2"/>
        <charset val="136"/>
      </rPr>
      <t xml:space="preserve"> </t>
    </r>
    <r>
      <rPr>
        <b/>
        <sz val="10"/>
        <color theme="1"/>
        <rFont val="微軟正黑體"/>
        <family val="2"/>
        <charset val="136"/>
      </rPr>
      <t xml:space="preserve">
</t>
    </r>
    <r>
      <rPr>
        <b/>
        <sz val="16"/>
        <color theme="1"/>
        <rFont val="微軟正黑體"/>
        <family val="2"/>
        <charset val="136"/>
      </rPr>
      <t xml:space="preserve">                                                 銷貨單明細</t>
    </r>
    <phoneticPr fontId="1" type="noConversion"/>
  </si>
  <si>
    <t>202602110002</t>
  </si>
  <si>
    <t>點22-三峽</t>
  </si>
  <si>
    <t>2026/02/11</t>
  </si>
  <si>
    <t>1</t>
  </si>
  <si>
    <t>港式叉燒包(30入/包)</t>
  </si>
  <si>
    <t>包</t>
  </si>
  <si>
    <t>202512290018</t>
  </si>
  <si>
    <t>2</t>
  </si>
  <si>
    <t>鮮蝦燒賣(30顆/袋)</t>
  </si>
  <si>
    <t>袋</t>
  </si>
  <si>
    <t>202512290020</t>
  </si>
  <si>
    <t>3</t>
  </si>
  <si>
    <t>三絲春卷(30/包)</t>
  </si>
  <si>
    <t>202512290019</t>
  </si>
  <si>
    <t>4</t>
  </si>
  <si>
    <t>香蔥鮮魚捲(30條/包)</t>
  </si>
  <si>
    <t>D0500002001_00</t>
  </si>
  <si>
    <t>5</t>
  </si>
  <si>
    <t>豆沙芝麻球(30顆/袋)</t>
  </si>
  <si>
    <t>D0500003001_0</t>
  </si>
  <si>
    <t>6</t>
  </si>
  <si>
    <t>芋頭捲(30條/袋)</t>
  </si>
  <si>
    <t>D0500021_00</t>
  </si>
  <si>
    <t>7</t>
  </si>
  <si>
    <t>魚翅餃(30入/包)</t>
  </si>
  <si>
    <t>202512290017</t>
  </si>
  <si>
    <t>8</t>
  </si>
  <si>
    <t>珍珠丸30入</t>
  </si>
  <si>
    <t>202512290023</t>
  </si>
  <si>
    <t>9</t>
  </si>
  <si>
    <t>4號蝦仁5斤/包</t>
  </si>
  <si>
    <t>202512290016</t>
  </si>
  <si>
    <t>備註：晚上六點後不要送貨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</si>
</sst>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3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6" fillId="0" borderId="3" xfId="1" applyNumberFormat="1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2" xfId="0" applyFon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9" fillId="0" borderId="6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6" fillId="0" borderId="3" xfId="1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Continuous" vertical="center" wrapText="1"/>
    </xf>
    <xf numFmtId="3" fontId="6" fillId="0" borderId="3" xfId="1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49" fontId="13" fillId="0" borderId="5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338-4AC8-4DDE-B809-5D37D0ABC512}">
  <dimension ref="A1:M22"/>
  <sheetViews>
    <sheetView tabSelected="1" zoomScaleNormal="100" workbookViewId="0">
      <selection activeCell="K21" sqref="K21"/>
    </sheetView>
  </sheetViews>
  <sheetFormatPr defaultColWidth="9" defaultRowHeight="15" x14ac:dyDescent="0.25"/>
  <cols>
    <col min="1" max="2" width="5.625" style="1" customWidth="1"/>
    <col min="3" max="3" width="9.625" style="1" customWidth="1"/>
    <col min="4" max="4" width="12.25" style="1" customWidth="1"/>
    <col min="5" max="5" width="10.5" style="1" customWidth="1"/>
    <col min="6" max="6" width="8.625" style="1" customWidth="1"/>
    <col min="7" max="7" width="2.25" style="1" customWidth="1"/>
    <col min="8" max="8" width="8.625" style="4" customWidth="1"/>
    <col min="9" max="9" width="8.625" style="1" customWidth="1"/>
    <col min="10" max="10" width="12" style="7" customWidth="1"/>
    <col min="11" max="11" width="16.75" style="1" customWidth="1"/>
    <col min="12" max="16384" width="9" style="1"/>
  </cols>
  <sheetData>
    <row r="1" spans="1:13" ht="54.75" customHeight="1" thickBot="1" x14ac:dyDescent="0.3">
      <c r="A1" s="24" t="s">
        <v>21</v>
      </c>
      <c r="B1" s="24"/>
      <c r="C1" s="24"/>
      <c r="D1" s="24"/>
      <c r="E1" s="24"/>
      <c r="F1" s="24"/>
      <c r="G1" s="24"/>
      <c r="H1" s="24"/>
      <c r="I1" s="24"/>
      <c r="J1" s="29" t="s">
        <v>19</v>
      </c>
      <c r="K1" s="29"/>
    </row>
    <row r="2" spans="1:13" ht="20.100000000000001" customHeight="1" thickTop="1" x14ac:dyDescent="0.25">
      <c r="A2" s="48" t="s">
        <v>4</v>
      </c>
      <c r="B2" s="48"/>
      <c r="C2" s="52" t="s">
        <v>22</v>
      </c>
      <c r="D2" s="52"/>
      <c r="E2" s="52"/>
      <c r="F2" s="57" t="s">
        <v>20</v>
      </c>
      <c r="G2" s="57"/>
      <c r="H2" s="52" t="s">
        <v>24</v>
      </c>
      <c r="I2" s="55"/>
      <c r="J2" s="58" t="s">
        <v>54</v>
      </c>
      <c r="K2" s="58"/>
    </row>
    <row r="3" spans="1:13" ht="20.100000000000001" customHeight="1" x14ac:dyDescent="0.25">
      <c r="A3" s="48" t="s">
        <v>9</v>
      </c>
      <c r="B3" s="48"/>
      <c r="C3" s="53" t="s">
        <v>23</v>
      </c>
      <c r="D3" s="53"/>
      <c r="E3" s="53"/>
      <c r="F3" s="48" t="s">
        <v>11</v>
      </c>
      <c r="G3" s="48"/>
      <c r="H3" s="53" t="s">
        <v>17</v>
      </c>
      <c r="I3" s="56"/>
      <c r="J3" s="59"/>
      <c r="K3" s="59"/>
      <c r="M3" s="12"/>
    </row>
    <row r="4" spans="1:13" ht="20.100000000000001" customHeight="1" x14ac:dyDescent="0.25">
      <c r="A4" s="48" t="s">
        <v>10</v>
      </c>
      <c r="B4" s="48"/>
      <c r="C4" s="54" t="s">
        <v>17</v>
      </c>
      <c r="D4" s="54"/>
      <c r="E4" s="54"/>
      <c r="F4" s="54"/>
      <c r="G4" s="54"/>
      <c r="H4" s="54"/>
      <c r="I4" s="54"/>
      <c r="J4" s="54"/>
      <c r="K4" s="54"/>
    </row>
    <row r="5" spans="1:13" ht="20.100000000000001" customHeight="1" x14ac:dyDescent="0.25">
      <c r="A5" s="49" t="s">
        <v>5</v>
      </c>
      <c r="B5" s="49"/>
      <c r="C5" s="30" t="s">
        <v>17</v>
      </c>
      <c r="D5" s="30"/>
      <c r="E5" s="30"/>
      <c r="F5" s="30"/>
      <c r="G5" s="30"/>
      <c r="H5" s="30"/>
      <c r="I5" s="30"/>
      <c r="J5" s="30"/>
      <c r="K5" s="30"/>
    </row>
    <row r="6" spans="1:13" ht="20.100000000000001" customHeight="1" x14ac:dyDescent="0.25">
      <c r="A6" s="3" t="s">
        <v>6</v>
      </c>
      <c r="B6" s="51" t="s">
        <v>18</v>
      </c>
      <c r="C6" s="51"/>
      <c r="D6" s="35" t="s">
        <v>0</v>
      </c>
      <c r="E6" s="36"/>
      <c r="F6" s="35" t="s">
        <v>1</v>
      </c>
      <c r="G6" s="36"/>
      <c r="H6" s="3" t="s">
        <v>3</v>
      </c>
      <c r="I6" s="3" t="s">
        <v>8</v>
      </c>
      <c r="J6" s="3" t="s">
        <v>2</v>
      </c>
      <c r="K6" s="3" t="s">
        <v>7</v>
      </c>
    </row>
    <row r="7" spans="1:13" s="2" customFormat="1" ht="20.100000000000001" customHeight="1" x14ac:dyDescent="0.25">
      <c r="A7" s="18" t="s">
        <v>25</v>
      </c>
      <c r="B7" s="39" t="s">
        <v>28</v>
      </c>
      <c r="C7" s="40"/>
      <c r="D7" s="42" t="s">
        <v>26</v>
      </c>
      <c r="E7" s="34"/>
      <c r="F7" s="37">
        <v>5</v>
      </c>
      <c r="G7" s="38"/>
      <c r="H7" s="19" t="s">
        <v>27</v>
      </c>
      <c r="I7" s="20">
        <v>450</v>
      </c>
      <c r="J7" s="23">
        <v>2250</v>
      </c>
      <c r="K7" s="22" t="s">
        <v>17</v>
      </c>
    </row>
    <row r="8" spans="1:13" s="2" customFormat="1" ht="20.100000000000001" customHeight="1" x14ac:dyDescent="0.25">
      <c r="A8" s="18" t="s">
        <v>29</v>
      </c>
      <c r="B8" s="39" t="s">
        <v>32</v>
      </c>
      <c r="C8" s="40"/>
      <c r="D8" s="42" t="s">
        <v>30</v>
      </c>
      <c r="E8" s="34"/>
      <c r="F8" s="37">
        <v>5</v>
      </c>
      <c r="G8" s="38"/>
      <c r="H8" s="19" t="s">
        <v>31</v>
      </c>
      <c r="I8" s="20">
        <v>390</v>
      </c>
      <c r="J8" s="23">
        <v>1950</v>
      </c>
      <c r="K8" s="22" t="s">
        <v>17</v>
      </c>
    </row>
    <row r="9" spans="1:13" s="2" customFormat="1" ht="20.100000000000001" customHeight="1" x14ac:dyDescent="0.25">
      <c r="A9" s="18" t="s">
        <v>33</v>
      </c>
      <c r="B9" s="39" t="s">
        <v>35</v>
      </c>
      <c r="C9" s="40"/>
      <c r="D9" s="42" t="s">
        <v>34</v>
      </c>
      <c r="E9" s="34"/>
      <c r="F9" s="37">
        <v>5</v>
      </c>
      <c r="G9" s="38"/>
      <c r="H9" s="19" t="s">
        <v>27</v>
      </c>
      <c r="I9" s="20">
        <v>300</v>
      </c>
      <c r="J9" s="23">
        <v>1500</v>
      </c>
      <c r="K9" s="22" t="s">
        <v>17</v>
      </c>
    </row>
    <row r="10" spans="1:13" s="2" customFormat="1" ht="20.100000000000001" customHeight="1" x14ac:dyDescent="0.25">
      <c r="A10" s="18" t="s">
        <v>36</v>
      </c>
      <c r="B10" s="39" t="s">
        <v>38</v>
      </c>
      <c r="C10" s="40"/>
      <c r="D10" s="42" t="s">
        <v>37</v>
      </c>
      <c r="E10" s="34"/>
      <c r="F10" s="37">
        <v>3</v>
      </c>
      <c r="G10" s="38"/>
      <c r="H10" s="19" t="s">
        <v>27</v>
      </c>
      <c r="I10" s="20">
        <v>360</v>
      </c>
      <c r="J10" s="23">
        <v>1080</v>
      </c>
      <c r="K10" s="22" t="s">
        <v>17</v>
      </c>
    </row>
    <row r="11" spans="1:13" s="2" customFormat="1" ht="20.100000000000001" customHeight="1" x14ac:dyDescent="0.25">
      <c r="A11" s="18" t="s">
        <v>39</v>
      </c>
      <c r="B11" s="39" t="s">
        <v>41</v>
      </c>
      <c r="C11" s="40"/>
      <c r="D11" s="42" t="s">
        <v>40</v>
      </c>
      <c r="E11" s="34"/>
      <c r="F11" s="37">
        <v>3</v>
      </c>
      <c r="G11" s="38"/>
      <c r="H11" s="19" t="s">
        <v>31</v>
      </c>
      <c r="I11" s="20">
        <v>300</v>
      </c>
      <c r="J11" s="21">
        <v>900</v>
      </c>
      <c r="K11" s="22" t="s">
        <v>17</v>
      </c>
    </row>
    <row r="12" spans="1:13" s="2" customFormat="1" ht="20.100000000000001" customHeight="1" x14ac:dyDescent="0.25">
      <c r="A12" s="18" t="s">
        <v>42</v>
      </c>
      <c r="B12" s="39" t="s">
        <v>44</v>
      </c>
      <c r="C12" s="40"/>
      <c r="D12" s="42" t="s">
        <v>43</v>
      </c>
      <c r="E12" s="34"/>
      <c r="F12" s="37">
        <v>3</v>
      </c>
      <c r="G12" s="38"/>
      <c r="H12" s="19" t="s">
        <v>31</v>
      </c>
      <c r="I12" s="20">
        <v>330</v>
      </c>
      <c r="J12" s="21">
        <v>990</v>
      </c>
      <c r="K12" s="22" t="s">
        <v>17</v>
      </c>
    </row>
    <row r="13" spans="1:13" s="2" customFormat="1" ht="20.100000000000001" customHeight="1" x14ac:dyDescent="0.25">
      <c r="A13" s="18" t="s">
        <v>45</v>
      </c>
      <c r="B13" s="39" t="s">
        <v>47</v>
      </c>
      <c r="C13" s="40"/>
      <c r="D13" s="42" t="s">
        <v>46</v>
      </c>
      <c r="E13" s="34"/>
      <c r="F13" s="37">
        <v>1</v>
      </c>
      <c r="G13" s="38"/>
      <c r="H13" s="19" t="s">
        <v>17</v>
      </c>
      <c r="I13" s="20">
        <v>420</v>
      </c>
      <c r="J13" s="21">
        <v>420</v>
      </c>
      <c r="K13" s="22" t="s">
        <v>17</v>
      </c>
    </row>
    <row r="14" spans="1:13" s="2" customFormat="1" ht="20.100000000000001" customHeight="1" x14ac:dyDescent="0.25">
      <c r="A14" s="18" t="s">
        <v>48</v>
      </c>
      <c r="B14" s="39" t="s">
        <v>50</v>
      </c>
      <c r="C14" s="40"/>
      <c r="D14" s="42" t="s">
        <v>49</v>
      </c>
      <c r="E14" s="34"/>
      <c r="F14" s="37">
        <v>4</v>
      </c>
      <c r="G14" s="38"/>
      <c r="H14" s="19" t="s">
        <v>17</v>
      </c>
      <c r="I14" s="20">
        <v>390</v>
      </c>
      <c r="J14" s="23">
        <v>1560</v>
      </c>
      <c r="K14" s="22" t="s">
        <v>17</v>
      </c>
    </row>
    <row r="15" spans="1:13" s="2" customFormat="1" ht="20.100000000000001" customHeight="1" x14ac:dyDescent="0.25">
      <c r="A15" s="18" t="s">
        <v>51</v>
      </c>
      <c r="B15" s="39" t="s">
        <v>53</v>
      </c>
      <c r="C15" s="40"/>
      <c r="D15" s="42" t="s">
        <v>52</v>
      </c>
      <c r="E15" s="34"/>
      <c r="F15" s="37">
        <v>10</v>
      </c>
      <c r="G15" s="38"/>
      <c r="H15" s="19" t="s">
        <v>17</v>
      </c>
      <c r="I15" s="25">
        <v>1170</v>
      </c>
      <c r="J15" s="23">
        <v>11700</v>
      </c>
      <c r="K15" s="22" t="s">
        <v>17</v>
      </c>
    </row>
    <row r="16" spans="1:13" s="2" customFormat="1" ht="20.100000000000001" customHeight="1" x14ac:dyDescent="0.25">
      <c r="A16" s="3"/>
      <c r="B16" s="31"/>
      <c r="C16" s="32"/>
      <c r="D16" s="33"/>
      <c r="E16" s="34"/>
      <c r="F16" s="43"/>
      <c r="G16" s="44"/>
      <c r="H16" s="16"/>
      <c r="I16" s="8"/>
      <c r="J16" s="9"/>
      <c r="K16" s="10"/>
    </row>
    <row r="17" spans="1:11" ht="20.100000000000001" customHeight="1" x14ac:dyDescent="0.25">
      <c r="A17" s="50"/>
      <c r="B17" s="50"/>
      <c r="C17" s="17"/>
      <c r="D17" s="13"/>
      <c r="E17" s="14" t="s">
        <v>12</v>
      </c>
      <c r="F17" s="41">
        <v>39</v>
      </c>
      <c r="G17" s="41"/>
      <c r="H17" s="46" t="s">
        <v>15</v>
      </c>
      <c r="I17" s="46"/>
      <c r="J17" s="26">
        <f>SUM(J7:J15)</f>
        <v>22350</v>
      </c>
      <c r="K17" s="15"/>
    </row>
    <row r="18" spans="1:11" ht="20.100000000000001" customHeight="1" x14ac:dyDescent="0.25">
      <c r="A18" s="2"/>
      <c r="B18" s="2"/>
      <c r="C18" s="2"/>
      <c r="D18" s="11"/>
      <c r="E18" s="11"/>
      <c r="F18" s="12"/>
      <c r="G18" s="11"/>
      <c r="H18" s="45" t="s">
        <v>14</v>
      </c>
      <c r="I18" s="45"/>
      <c r="J18" s="27">
        <f>J17*0.05</f>
        <v>1117.5</v>
      </c>
      <c r="K18" s="15"/>
    </row>
    <row r="19" spans="1:11" ht="20.100000000000001" customHeight="1" x14ac:dyDescent="0.25">
      <c r="A19" s="2"/>
      <c r="B19" s="2"/>
      <c r="C19" s="2"/>
      <c r="D19" s="11"/>
      <c r="E19" s="11"/>
      <c r="F19" s="12"/>
      <c r="G19" s="11"/>
      <c r="H19" s="45" t="s">
        <v>13</v>
      </c>
      <c r="I19" s="45"/>
      <c r="J19" s="27">
        <v>200</v>
      </c>
      <c r="K19" s="15"/>
    </row>
    <row r="20" spans="1:11" ht="20.100000000000001" customHeight="1" thickBot="1" x14ac:dyDescent="0.3">
      <c r="B20" s="12"/>
      <c r="C20" s="12"/>
      <c r="D20" s="47"/>
      <c r="E20" s="47"/>
      <c r="F20" s="2"/>
      <c r="G20" s="15"/>
      <c r="H20" s="45" t="s">
        <v>16</v>
      </c>
      <c r="I20" s="45"/>
      <c r="J20" s="28">
        <f>SUM(J17:J19)</f>
        <v>23667.5</v>
      </c>
      <c r="K20" s="15"/>
    </row>
    <row r="21" spans="1:11" ht="24.95" customHeight="1" thickTop="1" x14ac:dyDescent="0.25">
      <c r="H21" s="5"/>
      <c r="I21" s="6"/>
    </row>
    <row r="22" spans="1:11" ht="21.75" customHeight="1" x14ac:dyDescent="0.25">
      <c r="H22" s="5"/>
      <c r="I22" s="6"/>
    </row>
  </sheetData>
  <mergeCells count="54">
    <mergeCell ref="D6:E6"/>
    <mergeCell ref="C2:E2"/>
    <mergeCell ref="C3:E3"/>
    <mergeCell ref="C4:K4"/>
    <mergeCell ref="H2:I2"/>
    <mergeCell ref="H3:I3"/>
    <mergeCell ref="F3:G3"/>
    <mergeCell ref="F2:G2"/>
    <mergeCell ref="J2:K3"/>
    <mergeCell ref="D20:E20"/>
    <mergeCell ref="A2:B2"/>
    <mergeCell ref="A3:B3"/>
    <mergeCell ref="A4:B4"/>
    <mergeCell ref="A5:B5"/>
    <mergeCell ref="D8:E8"/>
    <mergeCell ref="D9:E9"/>
    <mergeCell ref="B7:C7"/>
    <mergeCell ref="B8:C8"/>
    <mergeCell ref="B9:C9"/>
    <mergeCell ref="A17:B17"/>
    <mergeCell ref="B15:C15"/>
    <mergeCell ref="B10:C10"/>
    <mergeCell ref="B11:C11"/>
    <mergeCell ref="B12:C12"/>
    <mergeCell ref="B6:C6"/>
    <mergeCell ref="H19:I19"/>
    <mergeCell ref="H20:I20"/>
    <mergeCell ref="H17:I17"/>
    <mergeCell ref="H18:I18"/>
    <mergeCell ref="F17:G17"/>
    <mergeCell ref="D13:E13"/>
    <mergeCell ref="D14:E14"/>
    <mergeCell ref="D15:E15"/>
    <mergeCell ref="D10:E10"/>
    <mergeCell ref="D11:E11"/>
    <mergeCell ref="D12:E12"/>
    <mergeCell ref="F15:G15"/>
    <mergeCell ref="F16:G16"/>
    <mergeCell ref="J1:K1"/>
    <mergeCell ref="C5:K5"/>
    <mergeCell ref="B16:C16"/>
    <mergeCell ref="D16:E16"/>
    <mergeCell ref="F6:G6"/>
    <mergeCell ref="F7:G7"/>
    <mergeCell ref="F8:G8"/>
    <mergeCell ref="B13:C13"/>
    <mergeCell ref="B14:C14"/>
    <mergeCell ref="F9:G9"/>
    <mergeCell ref="F10:G10"/>
    <mergeCell ref="F11:G11"/>
    <mergeCell ref="F12:G12"/>
    <mergeCell ref="F13:G13"/>
    <mergeCell ref="F14:G14"/>
    <mergeCell ref="D7:E7"/>
  </mergeCells>
  <phoneticPr fontId="1" type="noConversion"/>
  <printOptions horizontalCentered="1"/>
  <pageMargins left="0.15748031496062992" right="0.15748031496062992" top="0.23622047244094491" bottom="0.15748031496062992" header="0.31496062992125984" footer="0.31496062992125984"/>
  <pageSetup paperSize="9" scale="94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www161616</dc:creator>
  <cp:lastModifiedBy>奈 香</cp:lastModifiedBy>
  <cp:lastPrinted>2026-02-11T02:51:48Z</cp:lastPrinted>
  <dcterms:created xsi:type="dcterms:W3CDTF">2021-03-04T03:56:05Z</dcterms:created>
  <dcterms:modified xsi:type="dcterms:W3CDTF">2026-03-05T12:51:35Z</dcterms:modified>
</cp:coreProperties>
</file>